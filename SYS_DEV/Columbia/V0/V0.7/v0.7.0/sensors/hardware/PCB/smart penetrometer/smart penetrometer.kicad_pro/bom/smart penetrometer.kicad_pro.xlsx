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C\Smart-Penetrometer-with-Edge-Computing-and-Intelligent-Embedded-Systems\SYS_DEV\Columbia\V0\V0.7\v0.7.0\sensors\hardware\PCB\smart penetrometer\smart penetrometer.kicad_pro\bom\"/>
    </mc:Choice>
  </mc:AlternateContent>
  <xr:revisionPtr revIDLastSave="0" documentId="8_{A38B1C35-077C-404B-8A58-2A218414F531}" xr6:coauthVersionLast="47" xr6:coauthVersionMax="47" xr10:uidLastSave="{00000000-0000-0000-0000-000000000000}"/>
  <bookViews>
    <workbookView xWindow="3120" yWindow="3120" windowWidth="21600" windowHeight="11295" xr2:uid="{92290BCC-B3EB-4AC7-9C2B-A9B20C7BFE28}"/>
  </bookViews>
  <sheets>
    <sheet name="smart penetrometer.kicad_pro" sheetId="1" r:id="rId1"/>
  </sheets>
  <calcPr calcId="0"/>
</workbook>
</file>

<file path=xl/calcChain.xml><?xml version="1.0" encoding="utf-8"?>
<calcChain xmlns="http://schemas.openxmlformats.org/spreadsheetml/2006/main">
  <c r="J27" i="1" l="1"/>
</calcChain>
</file>

<file path=xl/sharedStrings.xml><?xml version="1.0" encoding="utf-8"?>
<sst xmlns="http://schemas.openxmlformats.org/spreadsheetml/2006/main" count="133" uniqueCount="86">
  <si>
    <t>Item #</t>
  </si>
  <si>
    <t>Reference</t>
  </si>
  <si>
    <t>Qty</t>
  </si>
  <si>
    <t>Manufacturer</t>
  </si>
  <si>
    <t>Product #</t>
  </si>
  <si>
    <t>Description / Value</t>
  </si>
  <si>
    <t>Package</t>
  </si>
  <si>
    <t>Footprint</t>
  </si>
  <si>
    <t>Unit Price</t>
  </si>
  <si>
    <t>Cost</t>
  </si>
  <si>
    <t>Links</t>
  </si>
  <si>
    <t>A1</t>
  </si>
  <si>
    <t>Arduino</t>
  </si>
  <si>
    <t>A000005</t>
  </si>
  <si>
    <t>ARDUINO NANO ATMEGA328 EVAL BRD</t>
  </si>
  <si>
    <t>link</t>
  </si>
  <si>
    <t>A2</t>
  </si>
  <si>
    <t>SD_Card_Module</t>
  </si>
  <si>
    <t>kitest:SD Module</t>
  </si>
  <si>
    <t xml:space="preserve"> $-   </t>
  </si>
  <si>
    <t>BT1</t>
  </si>
  <si>
    <t>MPD</t>
  </si>
  <si>
    <t>BK-870</t>
  </si>
  <si>
    <t>BATTERY RETAINER COIN 10MM SMD</t>
  </si>
  <si>
    <t>Renata Batteries</t>
  </si>
  <si>
    <t>CR1025</t>
  </si>
  <si>
    <t>BATTERY LITHIUM 3V COIN 10MM</t>
  </si>
  <si>
    <t>C2,C6</t>
  </si>
  <si>
    <t>KEMET</t>
  </si>
  <si>
    <t>C1206C104J5RACTU</t>
  </si>
  <si>
    <t>C_1uF</t>
  </si>
  <si>
    <t>1206 (3216 Metric)</t>
  </si>
  <si>
    <t>C5,C7</t>
  </si>
  <si>
    <t>C_0.1uF</t>
  </si>
  <si>
    <t>Capacitor_SMD:C_1206_3216Metric</t>
  </si>
  <si>
    <t>D1</t>
  </si>
  <si>
    <t>SMZ1_770mV</t>
  </si>
  <si>
    <t>Diode_SMD:D_MELF</t>
  </si>
  <si>
    <t>J1</t>
  </si>
  <si>
    <t>RTD</t>
  </si>
  <si>
    <t>custom:JST_PH_B2B-PH-K_1x02_P2.00mm_Vertical</t>
  </si>
  <si>
    <t>J2,J3</t>
  </si>
  <si>
    <t>Conn_01x02</t>
  </si>
  <si>
    <t>J4</t>
  </si>
  <si>
    <t>GEO</t>
  </si>
  <si>
    <t>J5</t>
  </si>
  <si>
    <t>Conn_02x04</t>
  </si>
  <si>
    <t>Connector_PinSocket_2.54mm:PinSocket_2x04_P2.54mm_Vertical</t>
  </si>
  <si>
    <t>J6</t>
  </si>
  <si>
    <t>EC</t>
  </si>
  <si>
    <t>custom:JST_PH_B3B-PH-K_1x03_P2.00mm_Vertical</t>
  </si>
  <si>
    <t>JP1</t>
  </si>
  <si>
    <t>Jumper_2</t>
  </si>
  <si>
    <t>Connector_PinHeader_2.54mm:PinHeader_1x02_P2.54mm_Vertical</t>
  </si>
  <si>
    <t>JP2</t>
  </si>
  <si>
    <t>Jumper_3</t>
  </si>
  <si>
    <t>Connector_PinHeader_2.54mm:PinHeader_1x03_P2.54mm_Vertical</t>
  </si>
  <si>
    <t>R1</t>
  </si>
  <si>
    <t>R_32K</t>
  </si>
  <si>
    <t>Resistor_SMD:R_1206_3216Metric</t>
  </si>
  <si>
    <t>R2</t>
  </si>
  <si>
    <t>R_7.5K</t>
  </si>
  <si>
    <t>R3</t>
  </si>
  <si>
    <t>R_100</t>
  </si>
  <si>
    <t>R5,R6,R11</t>
  </si>
  <si>
    <t>R_10K</t>
  </si>
  <si>
    <t>R9,R10</t>
  </si>
  <si>
    <t>R_1kOhm</t>
  </si>
  <si>
    <t>U1</t>
  </si>
  <si>
    <t>LM321</t>
  </si>
  <si>
    <t>Package_TO_SOT_SMD:SOT-23-5</t>
  </si>
  <si>
    <t>U2</t>
  </si>
  <si>
    <t>ADP124ARHZ-3.3-R7</t>
  </si>
  <si>
    <t>footprint:RH_8_1_ADI</t>
  </si>
  <si>
    <t>U4</t>
  </si>
  <si>
    <t>DS3231M</t>
  </si>
  <si>
    <t>Package_SO:SOIC-16W_7.5x10.3mm_P1.27mm</t>
  </si>
  <si>
    <t>U5</t>
  </si>
  <si>
    <t>BME260</t>
  </si>
  <si>
    <t>kitest:BME260</t>
  </si>
  <si>
    <t>U7</t>
  </si>
  <si>
    <t>ADS1115IDGS</t>
  </si>
  <si>
    <t>Package_SO:TSSOP-10_3x3mm_P0.5mm</t>
  </si>
  <si>
    <t>Total Cost</t>
  </si>
  <si>
    <t>link1</t>
  </si>
  <si>
    <t>link2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</si>
</sst>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8" fontId="0" fillId="0" borderId="0" xfId="0" applyNumberFormat="1"/>
    <xf numFmtId="0" fontId="18" fillId="0" borderId="0" xfId="42"/>
    <xf numFmtId="16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shenzhen-slkormicro-semicon-co-ltd/LM321/21852988" TargetMode="External"/><Relationship Id="rId2" Type="http://schemas.openxmlformats.org/officeDocument/2006/relationships/hyperlink" Target="https://www.ebay.com/itm/365432072865?var=635230515876&amp;_ul=US&amp;mkevt=1&amp;mkcid=1&amp;mkrid=711-53200-19255-0&amp;campid=5339114220&amp;toolid=10001&amp;customid=eb%3Ab%3Avms%3Aeb%3Ap%3A365432072865-635230515878%3B6fff1f3a2283118bd94a755cac2dcdd0&amp;loc_physical_ms=79480&amp;loc_interest_ms=&amp;msclkid=6fff1f3a2283118bd94a755cac2dcdd0" TargetMode="External"/><Relationship Id="rId1" Type="http://schemas.openxmlformats.org/officeDocument/2006/relationships/hyperlink" Target="https://www.digikey.com/en/products/detail/analog-devices-inc/ADP124ARHZ-3.3-R7/2237789?gclid=72d246719f871499ddf42c1711a411b0&amp;gclsrc=3p.ds&amp;msclkid=72d246719f871499ddf42c1711a411b0" TargetMode="External"/><Relationship Id="rId5" Type="http://schemas.openxmlformats.org/officeDocument/2006/relationships/hyperlink" Target="https://www.ebay.com/itm/293687781658?_skw=ADS1115IDGSR&amp;itmmeta=01KYGADFZC6XKXNJYDE79P6MAW&amp;hash=item446127e91a:g:UnUAAOSwlUpbUgZ-&amp;itmprp=enc%3AAQALAAAA8GfYFPkwiKCW4ZNSs2u11xALh861Bsn%2FtgsvHxRyZOPGUOapEdt8CVw%2FFKwtpKDduFUKT0Xvh5OKvEjQqntdMSX2mlqyvTFoo1Pp4%2BQnvDSYJx6%2FSMKhbKL1M6owLQ6T42SG84E1L%2BdEXxt9K8FoPohGwzcl7NBuK2TGtmFgEfKCEMq2sxzv2DL2yLpwYhTG4lbNO02DXIzqoU56Q4IwV7n9MteinnyYW4TMragGF8olQ6czMh3L%2BCOShaqwMoXHwwZG4QQDLjusIDdu7EbSeMYngmqPiLp6IQhVvZMx89plwyXgpZD%2BquNHnThxMT2djg%3D%3D%7Ctkp%3ABFBM8v-1ivRn" TargetMode="External"/><Relationship Id="rId4" Type="http://schemas.openxmlformats.org/officeDocument/2006/relationships/hyperlink" Target="https://www.digikey.com/en/products/detail/texas-instruments/ADS1115IDGSR/22315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96E56-E89F-418A-9C70-DA212637DB5B}">
  <dimension ref="A1:L27"/>
  <sheetViews>
    <sheetView tabSelected="1" topLeftCell="A2" workbookViewId="0">
      <selection activeCell="L25" sqref="L25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>
        <v>1</v>
      </c>
      <c r="D2" t="s">
        <v>12</v>
      </c>
      <c r="E2" t="s">
        <v>13</v>
      </c>
      <c r="F2" t="s">
        <v>14</v>
      </c>
      <c r="I2" s="1">
        <v>24.9</v>
      </c>
      <c r="J2" s="3">
        <v>24.9</v>
      </c>
      <c r="K2" t="s">
        <v>15</v>
      </c>
    </row>
    <row r="3" spans="1:11" x14ac:dyDescent="0.25">
      <c r="A3">
        <v>2</v>
      </c>
      <c r="B3" t="s">
        <v>16</v>
      </c>
      <c r="C3">
        <v>1</v>
      </c>
      <c r="F3" t="s">
        <v>17</v>
      </c>
      <c r="H3" t="s">
        <v>18</v>
      </c>
      <c r="J3" s="3" t="s">
        <v>19</v>
      </c>
      <c r="K3" t="s">
        <v>15</v>
      </c>
    </row>
    <row r="4" spans="1:11" x14ac:dyDescent="0.25">
      <c r="A4">
        <v>3</v>
      </c>
      <c r="B4" t="s">
        <v>20</v>
      </c>
      <c r="C4">
        <v>1</v>
      </c>
      <c r="D4" t="s">
        <v>21</v>
      </c>
      <c r="E4" t="s">
        <v>22</v>
      </c>
      <c r="F4" t="s">
        <v>23</v>
      </c>
      <c r="I4" s="1">
        <v>0.57999999999999996</v>
      </c>
      <c r="J4" s="3">
        <v>0.57999999999999996</v>
      </c>
      <c r="K4" t="s">
        <v>15</v>
      </c>
    </row>
    <row r="5" spans="1:11" x14ac:dyDescent="0.25">
      <c r="A5">
        <v>4</v>
      </c>
      <c r="C5">
        <v>1</v>
      </c>
      <c r="D5" t="s">
        <v>24</v>
      </c>
      <c r="E5" t="s">
        <v>25</v>
      </c>
      <c r="F5" t="s">
        <v>26</v>
      </c>
      <c r="I5" s="1">
        <v>1.4</v>
      </c>
      <c r="J5" s="3">
        <v>1.4</v>
      </c>
      <c r="K5" t="s">
        <v>15</v>
      </c>
    </row>
    <row r="6" spans="1:11" x14ac:dyDescent="0.25">
      <c r="A6">
        <v>5</v>
      </c>
      <c r="B6" t="s">
        <v>27</v>
      </c>
      <c r="C6">
        <v>2</v>
      </c>
      <c r="D6" t="s">
        <v>28</v>
      </c>
      <c r="E6" t="s">
        <v>29</v>
      </c>
      <c r="F6" t="s">
        <v>30</v>
      </c>
      <c r="G6" t="s">
        <v>31</v>
      </c>
      <c r="I6" s="1">
        <v>0.24</v>
      </c>
      <c r="J6" s="3">
        <v>0.48</v>
      </c>
      <c r="K6" t="s">
        <v>15</v>
      </c>
    </row>
    <row r="7" spans="1:11" x14ac:dyDescent="0.25">
      <c r="A7">
        <v>6</v>
      </c>
      <c r="B7" t="s">
        <v>32</v>
      </c>
      <c r="C7">
        <v>2</v>
      </c>
      <c r="D7" t="s">
        <v>28</v>
      </c>
      <c r="E7" t="s">
        <v>29</v>
      </c>
      <c r="F7" t="s">
        <v>33</v>
      </c>
      <c r="H7" t="s">
        <v>34</v>
      </c>
      <c r="J7" s="3" t="s">
        <v>19</v>
      </c>
      <c r="K7" t="s">
        <v>15</v>
      </c>
    </row>
    <row r="8" spans="1:11" x14ac:dyDescent="0.25">
      <c r="A8">
        <v>7</v>
      </c>
      <c r="B8" t="s">
        <v>35</v>
      </c>
      <c r="C8">
        <v>1</v>
      </c>
      <c r="F8" t="s">
        <v>36</v>
      </c>
      <c r="H8" t="s">
        <v>37</v>
      </c>
      <c r="J8" s="3" t="s">
        <v>19</v>
      </c>
      <c r="K8" t="s">
        <v>15</v>
      </c>
    </row>
    <row r="9" spans="1:11" x14ac:dyDescent="0.25">
      <c r="A9">
        <v>8</v>
      </c>
      <c r="B9" t="s">
        <v>38</v>
      </c>
      <c r="C9">
        <v>1</v>
      </c>
      <c r="F9" t="s">
        <v>39</v>
      </c>
      <c r="H9" t="s">
        <v>40</v>
      </c>
      <c r="J9" s="3" t="s">
        <v>19</v>
      </c>
      <c r="K9" t="s">
        <v>15</v>
      </c>
    </row>
    <row r="10" spans="1:11" x14ac:dyDescent="0.25">
      <c r="A10">
        <v>9</v>
      </c>
      <c r="B10" t="s">
        <v>41</v>
      </c>
      <c r="C10">
        <v>2</v>
      </c>
      <c r="F10" t="s">
        <v>42</v>
      </c>
      <c r="H10" t="s">
        <v>40</v>
      </c>
      <c r="J10" s="3" t="s">
        <v>19</v>
      </c>
      <c r="K10" t="s">
        <v>15</v>
      </c>
    </row>
    <row r="11" spans="1:11" x14ac:dyDescent="0.25">
      <c r="A11">
        <v>10</v>
      </c>
      <c r="B11" t="s">
        <v>43</v>
      </c>
      <c r="C11">
        <v>1</v>
      </c>
      <c r="F11" t="s">
        <v>44</v>
      </c>
      <c r="H11" t="s">
        <v>40</v>
      </c>
      <c r="J11" s="3" t="s">
        <v>19</v>
      </c>
      <c r="K11" t="s">
        <v>15</v>
      </c>
    </row>
    <row r="12" spans="1:11" x14ac:dyDescent="0.25">
      <c r="A12">
        <v>11</v>
      </c>
      <c r="B12" t="s">
        <v>45</v>
      </c>
      <c r="C12">
        <v>1</v>
      </c>
      <c r="F12" t="s">
        <v>46</v>
      </c>
      <c r="H12" t="s">
        <v>47</v>
      </c>
      <c r="J12" s="3" t="s">
        <v>19</v>
      </c>
      <c r="K12" t="s">
        <v>15</v>
      </c>
    </row>
    <row r="13" spans="1:11" x14ac:dyDescent="0.25">
      <c r="A13">
        <v>12</v>
      </c>
      <c r="B13" t="s">
        <v>48</v>
      </c>
      <c r="C13">
        <v>1</v>
      </c>
      <c r="F13" t="s">
        <v>49</v>
      </c>
      <c r="H13" t="s">
        <v>50</v>
      </c>
      <c r="J13" s="3" t="s">
        <v>19</v>
      </c>
      <c r="K13" t="s">
        <v>15</v>
      </c>
    </row>
    <row r="14" spans="1:11" x14ac:dyDescent="0.25">
      <c r="A14">
        <v>13</v>
      </c>
      <c r="B14" t="s">
        <v>51</v>
      </c>
      <c r="C14">
        <v>1</v>
      </c>
      <c r="F14" t="s">
        <v>52</v>
      </c>
      <c r="H14" t="s">
        <v>53</v>
      </c>
      <c r="J14" s="3" t="s">
        <v>19</v>
      </c>
      <c r="K14" t="s">
        <v>15</v>
      </c>
    </row>
    <row r="15" spans="1:11" x14ac:dyDescent="0.25">
      <c r="A15">
        <v>14</v>
      </c>
      <c r="B15" t="s">
        <v>54</v>
      </c>
      <c r="C15">
        <v>1</v>
      </c>
      <c r="F15" t="s">
        <v>55</v>
      </c>
      <c r="H15" t="s">
        <v>56</v>
      </c>
      <c r="J15" s="3" t="s">
        <v>19</v>
      </c>
      <c r="K15" t="s">
        <v>15</v>
      </c>
    </row>
    <row r="16" spans="1:11" x14ac:dyDescent="0.25">
      <c r="A16">
        <v>15</v>
      </c>
      <c r="B16" t="s">
        <v>57</v>
      </c>
      <c r="C16">
        <v>1</v>
      </c>
      <c r="F16" t="s">
        <v>58</v>
      </c>
      <c r="H16" t="s">
        <v>59</v>
      </c>
      <c r="J16" s="3" t="s">
        <v>19</v>
      </c>
      <c r="K16" t="s">
        <v>15</v>
      </c>
    </row>
    <row r="17" spans="1:12" x14ac:dyDescent="0.25">
      <c r="A17">
        <v>16</v>
      </c>
      <c r="B17" t="s">
        <v>60</v>
      </c>
      <c r="C17">
        <v>1</v>
      </c>
      <c r="F17" t="s">
        <v>61</v>
      </c>
      <c r="H17" t="s">
        <v>59</v>
      </c>
      <c r="J17" s="3" t="s">
        <v>19</v>
      </c>
      <c r="K17" t="s">
        <v>15</v>
      </c>
    </row>
    <row r="18" spans="1:12" x14ac:dyDescent="0.25">
      <c r="A18">
        <v>17</v>
      </c>
      <c r="B18" t="s">
        <v>62</v>
      </c>
      <c r="C18">
        <v>1</v>
      </c>
      <c r="F18" t="s">
        <v>63</v>
      </c>
      <c r="H18" t="s">
        <v>59</v>
      </c>
      <c r="J18" s="3" t="s">
        <v>19</v>
      </c>
      <c r="K18" t="s">
        <v>15</v>
      </c>
    </row>
    <row r="19" spans="1:12" x14ac:dyDescent="0.25">
      <c r="A19">
        <v>18</v>
      </c>
      <c r="B19" t="s">
        <v>64</v>
      </c>
      <c r="C19">
        <v>3</v>
      </c>
      <c r="F19" t="s">
        <v>65</v>
      </c>
      <c r="H19" t="s">
        <v>59</v>
      </c>
      <c r="J19" s="3" t="s">
        <v>19</v>
      </c>
      <c r="K19" t="s">
        <v>15</v>
      </c>
    </row>
    <row r="20" spans="1:12" x14ac:dyDescent="0.25">
      <c r="A20">
        <v>19</v>
      </c>
      <c r="B20" t="s">
        <v>66</v>
      </c>
      <c r="C20">
        <v>2</v>
      </c>
      <c r="F20" t="s">
        <v>67</v>
      </c>
      <c r="H20" t="s">
        <v>59</v>
      </c>
      <c r="J20" s="3" t="s">
        <v>19</v>
      </c>
      <c r="K20" t="s">
        <v>15</v>
      </c>
    </row>
    <row r="21" spans="1:12" x14ac:dyDescent="0.25">
      <c r="A21">
        <v>20</v>
      </c>
      <c r="B21" t="s">
        <v>68</v>
      </c>
      <c r="C21">
        <v>1</v>
      </c>
      <c r="F21" t="s">
        <v>69</v>
      </c>
      <c r="H21" t="s">
        <v>70</v>
      </c>
      <c r="J21" s="3">
        <v>0.1</v>
      </c>
      <c r="K21" s="2" t="s">
        <v>15</v>
      </c>
    </row>
    <row r="22" spans="1:12" x14ac:dyDescent="0.25">
      <c r="A22">
        <v>21</v>
      </c>
      <c r="B22" t="s">
        <v>71</v>
      </c>
      <c r="C22">
        <v>1</v>
      </c>
      <c r="F22" t="s">
        <v>72</v>
      </c>
      <c r="H22" t="s">
        <v>73</v>
      </c>
      <c r="J22" s="3">
        <v>2.52</v>
      </c>
      <c r="K22" s="2" t="s">
        <v>84</v>
      </c>
      <c r="L22" s="2" t="s">
        <v>85</v>
      </c>
    </row>
    <row r="23" spans="1:12" x14ac:dyDescent="0.25">
      <c r="A23">
        <v>22</v>
      </c>
      <c r="B23" t="s">
        <v>74</v>
      </c>
      <c r="C23">
        <v>1</v>
      </c>
      <c r="F23" t="s">
        <v>75</v>
      </c>
      <c r="H23" t="s">
        <v>76</v>
      </c>
      <c r="J23" s="3" t="s">
        <v>19</v>
      </c>
      <c r="K23" t="s">
        <v>15</v>
      </c>
    </row>
    <row r="24" spans="1:12" x14ac:dyDescent="0.25">
      <c r="A24">
        <v>23</v>
      </c>
      <c r="B24" t="s">
        <v>77</v>
      </c>
      <c r="C24">
        <v>1</v>
      </c>
      <c r="F24" t="s">
        <v>78</v>
      </c>
      <c r="H24" t="s">
        <v>79</v>
      </c>
      <c r="J24" s="3" t="s">
        <v>19</v>
      </c>
      <c r="K24" t="s">
        <v>15</v>
      </c>
    </row>
    <row r="25" spans="1:12" x14ac:dyDescent="0.25">
      <c r="A25">
        <v>24</v>
      </c>
      <c r="B25" t="s">
        <v>80</v>
      </c>
      <c r="C25">
        <v>1</v>
      </c>
      <c r="F25" t="s">
        <v>81</v>
      </c>
      <c r="H25" t="s">
        <v>82</v>
      </c>
      <c r="J25" s="3">
        <v>5.28</v>
      </c>
      <c r="K25" s="2" t="s">
        <v>84</v>
      </c>
      <c r="L25" s="2" t="s">
        <v>85</v>
      </c>
    </row>
    <row r="27" spans="1:12" x14ac:dyDescent="0.25">
      <c r="I27" t="s">
        <v>83</v>
      </c>
      <c r="J27" s="1">
        <f>SUM(J2:J25)</f>
        <v>35.26</v>
      </c>
    </row>
  </sheetData>
  <hyperlinks>
    <hyperlink ref="K22" r:id="rId1" xr:uid="{9D78DAD8-A039-491C-BB39-13CB5F6DBFF7}"/>
    <hyperlink ref="L22" r:id="rId2" xr:uid="{5A5DF242-F598-4B6E-AECD-2289F56EF71F}"/>
    <hyperlink ref="K21" r:id="rId3" xr:uid="{6E5D8F72-DAF5-441B-8B9C-EB48EA7FB879}"/>
    <hyperlink ref="K25" r:id="rId4" xr:uid="{93709A69-BE6D-46B3-80FE-1EAA8CA01DDD}"/>
    <hyperlink ref="L25" r:id="rId5" xr:uid="{6200938D-C6D7-436B-B7F0-C768EA02E9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smart penetrometer.kicad_pro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Flemming, Malichi</cp:lastModifiedBy>
  <dcterms:created xsi:type="dcterms:W3CDTF">2026-07-27T01:47:04Z</dcterms:created>
  <dcterms:modified xsi:type="dcterms:W3CDTF">2026-07-27T01:47:04Z</dcterms:modified>
</cp:coreProperties>
</file>