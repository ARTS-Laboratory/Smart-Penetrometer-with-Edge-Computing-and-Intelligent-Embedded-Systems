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mart-Penetrometer-with-Edge-Computing-and-Intelligent-Embedded-Systems\SYS_DEV\Columbia\V0\V0.7\v0.7.0\"/>
    </mc:Choice>
  </mc:AlternateContent>
  <xr:revisionPtr revIDLastSave="0" documentId="13_ncr:1_{26AD5620-D63B-4800-8CD2-2459157146DF}" xr6:coauthVersionLast="47" xr6:coauthVersionMax="47" xr10:uidLastSave="{00000000-0000-0000-0000-000000000000}"/>
  <bookViews>
    <workbookView xWindow="28680" yWindow="-15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2" i="1"/>
  <c r="F3" i="1"/>
  <c r="F4" i="1"/>
  <c r="F5" i="1"/>
  <c r="F28" i="1" l="1"/>
</calcChain>
</file>

<file path=xl/sharedStrings.xml><?xml version="1.0" encoding="utf-8"?>
<sst xmlns="http://schemas.openxmlformats.org/spreadsheetml/2006/main" count="38" uniqueCount="37">
  <si>
    <t>Total Cost</t>
  </si>
  <si>
    <t>Designator</t>
  </si>
  <si>
    <t>Component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</si>
  <si>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</si>
  <si>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</si>
  <si>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</si>
  <si>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</si>
  <si>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</si>
  <si>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</si>
  <si>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</si>
  <si>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</si>
  <si>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https://www.grainger.com/product/ABS-Tube-Stock-3-ft-Lg-60CY12?opr=ODOH&amp;analytics=FM:Order%20History</t>
  </si>
  <si>
    <t>ABS Tube Stock: 3 ft Lg, 1/4 in Inside Dia, 1/2 in Outside Dia, 0.13 in Wall Thick, Opaque, Black</t>
  </si>
  <si>
    <t>Notes</t>
  </si>
  <si>
    <t>longest piece with free shipping on USC contract</t>
  </si>
  <si>
    <t>https://www.grainger.com/product/SHRINK-KON-Heat-Shrink-Tubing-0-75-in-3KH60?opr=ILOF</t>
  </si>
  <si>
    <t>SHRINK-KON Heat Shrink Tubing: 0.75 in I.D. Before Shrinking, 0.38 in I.D. After Shrinking, 10 PK</t>
  </si>
  <si>
    <t>1/2" Bore Double Split Shaft Locking Collar Black Oxide Finish</t>
  </si>
  <si>
    <t>https://www.grainger.com/product/DAYTON-Shaft-Collar-2-Piece-1L698</t>
  </si>
  <si>
    <t>https://www.mscdirect.com/product/details/65021594</t>
  </si>
  <si>
    <t>Double Split Shaft Locking Collar</t>
  </si>
  <si>
    <t>https://www.grainger.com/product/260-Brass-Round-Tube-17-32-48KU83?opr=ODOH&amp;analytics=FM:Order%20History</t>
  </si>
  <si>
    <t>260 Brass Round Tube: 17/32 in Outside Dia, 0.503 in Inside Dia, 0.014 in Wall Thick, 260, Mill</t>
  </si>
  <si>
    <t xml:space="preserve">Slides onto the plastic tube easily. </t>
  </si>
  <si>
    <t>outer brass tube - spike probe</t>
  </si>
  <si>
    <t>abs tube - spike probe</t>
  </si>
  <si>
    <t>heat shrink - spike probe</t>
  </si>
  <si>
    <t>Gorilla Glue</t>
  </si>
  <si>
    <t>Gorilla Glue Original</t>
  </si>
  <si>
    <t>Used between spike probe layers</t>
  </si>
  <si>
    <t>Gorilla 8 oz. Original Glue 50008A - The Home Depot</t>
  </si>
  <si>
    <t>Amount per Package</t>
  </si>
  <si>
    <t>Amount in Inventory</t>
  </si>
  <si>
    <t>https://www.grainger.com/product/GORILLA-Glue-Gen-Purpose-1TMA1</t>
  </si>
  <si>
    <t>inner brass rod - spike probe</t>
  </si>
  <si>
    <t>https://www.grainger.com/product/360-Brass-Rod-1-4-in-Outside-803H35?opr=ILOF</t>
  </si>
  <si>
    <t>360 Brass Rod: 1/4 in Outside Dia, 36 in Overall Lg, H02, Mill, 45,000 psi Yield Strength,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</si>
</sst>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grainger.com/product/DAYTON-Shaft-Collar-2-Piece-1L698" TargetMode="External"/><Relationship Id="rId7" Type="http://schemas.openxmlformats.org/officeDocument/2006/relationships/hyperlink" Target="https://www.grainger.com/product/GORILLA-Glue-Gen-Purpose-1TMA1" TargetMode="External"/><Relationship Id="rId2" Type="http://schemas.openxmlformats.org/officeDocument/2006/relationships/hyperlink" Target="https://www.grainger.com/product/SHRINK-KON-Heat-Shrink-Tubing-0-75-in-3KH60?opr=ILOF" TargetMode="External"/><Relationship Id="rId1" Type="http://schemas.openxmlformats.org/officeDocument/2006/relationships/hyperlink" Target="https://www.grainger.com/product/ABS-Tube-Stock-3-ft-Lg-60CY12?opr=ODOH&amp;analytics=FM:Order%20History" TargetMode="External"/><Relationship Id="rId6" Type="http://schemas.openxmlformats.org/officeDocument/2006/relationships/hyperlink" Target="https://www.homedepot.com/p/Gorilla-8-oz-Original-Glue-50008A/100204163" TargetMode="External"/><Relationship Id="rId5" Type="http://schemas.openxmlformats.org/officeDocument/2006/relationships/hyperlink" Target="https://www.grainger.com/product/260-Brass-Round-Tube-17-32-48KU83?opr=ODOH&amp;analytics=FM:Order%20History" TargetMode="External"/><Relationship Id="rId4" Type="http://schemas.openxmlformats.org/officeDocument/2006/relationships/hyperlink" Target="https://www.mscdirect.com/product/details/65021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33"/>
  <sheetViews>
    <sheetView tabSelected="1" zoomScale="115" zoomScaleNormal="115" workbookViewId="0">
      <selection activeCell="B10" sqref="B10"/>
    </sheetView>
  </sheetViews>
  <sheetFormatPr defaultColWidth="8.85546875" defaultRowHeight="15" x14ac:dyDescent="0.25"/>
  <cols>
    <col min="1" max="1" width="28.140625" bestFit="1" customWidth="1"/>
    <col min="2" max="2" width="79.140625" bestFit="1" customWidth="1"/>
    <col min="3" max="3" width="18" bestFit="1" customWidth="1"/>
    <col min="4" max="4" width="18.140625" bestFit="1" customWidth="1"/>
    <col min="5" max="5" width="12.5703125" bestFit="1" customWidth="1"/>
    <col min="6" max="6" width="12.28515625" customWidth="1"/>
    <col min="7" max="7" width="41" bestFit="1" customWidth="1"/>
    <col min="8" max="8" width="99.5703125" bestFit="1" customWidth="1"/>
    <col min="9" max="9" width="76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8" t="s">
        <v>1</v>
      </c>
      <c r="B1" s="8" t="s">
        <v>2</v>
      </c>
      <c r="C1" s="8" t="s">
        <v>32</v>
      </c>
      <c r="D1" s="8" t="s">
        <v>31</v>
      </c>
      <c r="E1" s="8" t="s">
        <v>3</v>
      </c>
      <c r="F1" s="8" t="s">
        <v>0</v>
      </c>
      <c r="G1" s="8" t="s">
        <v>13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</row>
    <row r="2" spans="1:13" ht="15" customHeight="1" x14ac:dyDescent="0.25">
      <c r="A2" s="2" t="s">
        <v>24</v>
      </c>
      <c r="B2" s="2" t="s">
        <v>22</v>
      </c>
      <c r="C2" s="2"/>
      <c r="D2" s="2">
        <v>1</v>
      </c>
      <c r="E2" s="6">
        <v>6.57</v>
      </c>
      <c r="F2" s="6">
        <f t="shared" ref="F2:F4" si="0">D2*E2</f>
        <v>6.57</v>
      </c>
      <c r="G2" s="6" t="s">
        <v>23</v>
      </c>
      <c r="H2" s="3" t="s">
        <v>21</v>
      </c>
      <c r="I2" s="5"/>
      <c r="J2" s="2"/>
    </row>
    <row r="3" spans="1:13" ht="15" customHeight="1" x14ac:dyDescent="0.25">
      <c r="A3" s="2" t="s">
        <v>34</v>
      </c>
      <c r="B3" s="2" t="s">
        <v>36</v>
      </c>
      <c r="C3" s="2"/>
      <c r="D3" s="2">
        <v>0.125</v>
      </c>
      <c r="E3" s="6">
        <v>16.45</v>
      </c>
      <c r="F3" s="6">
        <f t="shared" si="0"/>
        <v>2.0562499999999999</v>
      </c>
      <c r="G3" s="6" t="s">
        <v>14</v>
      </c>
      <c r="H3" s="3" t="s">
        <v>35</v>
      </c>
    </row>
    <row r="4" spans="1:13" ht="15" customHeight="1" x14ac:dyDescent="0.25">
      <c r="A4" s="2" t="s">
        <v>25</v>
      </c>
      <c r="B4" s="2" t="s">
        <v>12</v>
      </c>
      <c r="C4" s="2"/>
      <c r="D4" s="2">
        <v>0.16700000000000001</v>
      </c>
      <c r="E4" s="6">
        <v>13.59</v>
      </c>
      <c r="F4" s="6">
        <f t="shared" si="0"/>
        <v>2.26953</v>
      </c>
      <c r="G4" s="6" t="s">
        <v>14</v>
      </c>
      <c r="H4" s="3" t="s">
        <v>11</v>
      </c>
      <c r="I4" s="5"/>
      <c r="J4" s="5"/>
    </row>
    <row r="5" spans="1:13" ht="15" customHeight="1" x14ac:dyDescent="0.25">
      <c r="A5" s="2" t="s">
        <v>26</v>
      </c>
      <c r="B5" s="2" t="s">
        <v>16</v>
      </c>
      <c r="C5" s="2"/>
      <c r="D5" s="2">
        <v>0.1</v>
      </c>
      <c r="E5" s="6">
        <v>7.76</v>
      </c>
      <c r="F5" s="6">
        <f>D5*E5</f>
        <v>0.77600000000000002</v>
      </c>
      <c r="G5" s="6"/>
      <c r="H5" s="3" t="s">
        <v>15</v>
      </c>
      <c r="I5" s="3"/>
      <c r="J5" s="5"/>
    </row>
    <row r="6" spans="1:13" ht="15" customHeight="1" x14ac:dyDescent="0.25">
      <c r="A6" s="2" t="s">
        <v>20</v>
      </c>
      <c r="B6" s="2" t="s">
        <v>17</v>
      </c>
      <c r="C6" s="2"/>
      <c r="D6" s="2">
        <v>1</v>
      </c>
      <c r="E6" s="6">
        <v>4.4800000000000004</v>
      </c>
      <c r="F6" s="6">
        <f>D6*E6</f>
        <v>4.4800000000000004</v>
      </c>
      <c r="G6" s="6"/>
      <c r="H6" s="1" t="s">
        <v>19</v>
      </c>
      <c r="I6" s="3" t="s">
        <v>18</v>
      </c>
    </row>
    <row r="7" spans="1:13" ht="15" customHeight="1" x14ac:dyDescent="0.25">
      <c r="A7" s="2" t="s">
        <v>27</v>
      </c>
      <c r="B7" s="2" t="s">
        <v>28</v>
      </c>
      <c r="C7" s="2"/>
      <c r="D7" s="2">
        <v>0.01</v>
      </c>
      <c r="E7" s="6">
        <v>9.98</v>
      </c>
      <c r="F7" s="6">
        <f>D7*E7</f>
        <v>9.98E-2</v>
      </c>
      <c r="G7" s="6" t="s">
        <v>29</v>
      </c>
      <c r="H7" s="1" t="s">
        <v>33</v>
      </c>
      <c r="I7" s="1" t="s">
        <v>30</v>
      </c>
      <c r="J7" s="3"/>
      <c r="K7" s="3"/>
      <c r="L7" s="5"/>
      <c r="M7" s="5"/>
    </row>
    <row r="8" spans="1:13" ht="15" customHeight="1" x14ac:dyDescent="0.25">
      <c r="A8" s="2"/>
      <c r="B8" s="2"/>
      <c r="C8" s="2"/>
      <c r="D8" s="2"/>
      <c r="E8" s="6"/>
      <c r="F8" s="6"/>
      <c r="G8" s="6"/>
      <c r="H8" s="3"/>
      <c r="I8" s="5"/>
    </row>
    <row r="9" spans="1:13" ht="15" customHeight="1" x14ac:dyDescent="0.25">
      <c r="A9" s="2"/>
      <c r="B9" s="2"/>
      <c r="C9" s="2"/>
      <c r="D9" s="2"/>
      <c r="E9" s="6"/>
      <c r="F9" s="6"/>
      <c r="G9" s="6"/>
      <c r="H9" s="3"/>
      <c r="I9" s="5"/>
    </row>
    <row r="10" spans="1:13" ht="15" customHeight="1" x14ac:dyDescent="0.25">
      <c r="A10" s="2"/>
      <c r="B10" s="2"/>
      <c r="C10" s="2"/>
      <c r="D10" s="2"/>
      <c r="E10" s="6"/>
      <c r="F10" s="6"/>
      <c r="G10" s="6"/>
      <c r="H10" s="3"/>
      <c r="I10" s="5"/>
    </row>
    <row r="11" spans="1:13" ht="15" customHeight="1" x14ac:dyDescent="0.25">
      <c r="A11" s="2"/>
      <c r="B11" s="2"/>
      <c r="C11" s="2"/>
      <c r="D11" s="2"/>
      <c r="E11" s="6"/>
      <c r="F11" s="6"/>
      <c r="G11" s="6"/>
      <c r="H11" s="3"/>
      <c r="I11" s="3"/>
    </row>
    <row r="12" spans="1:13" ht="15" customHeight="1" x14ac:dyDescent="0.25">
      <c r="A12" s="2"/>
      <c r="B12" s="2"/>
      <c r="C12" s="2"/>
      <c r="D12" s="2"/>
      <c r="E12" s="6"/>
      <c r="F12" s="6"/>
      <c r="G12" s="6"/>
      <c r="H12" s="3"/>
      <c r="I12" s="5"/>
    </row>
    <row r="13" spans="1:13" ht="15" customHeight="1" x14ac:dyDescent="0.25">
      <c r="A13" s="2"/>
      <c r="B13" s="2"/>
      <c r="C13" s="2"/>
      <c r="D13" s="2"/>
      <c r="E13" s="6"/>
      <c r="F13" s="6"/>
      <c r="G13" s="6"/>
      <c r="H13" s="3"/>
      <c r="I13" s="5"/>
    </row>
    <row r="14" spans="1:13" ht="15" customHeight="1" x14ac:dyDescent="0.25">
      <c r="A14" s="2"/>
      <c r="B14" s="2"/>
      <c r="C14" s="2"/>
      <c r="D14" s="2"/>
      <c r="E14" s="6"/>
      <c r="F14" s="6"/>
      <c r="G14" s="6"/>
      <c r="H14" s="3"/>
      <c r="I14" s="5"/>
    </row>
    <row r="15" spans="1:13" ht="15" customHeight="1" x14ac:dyDescent="0.25">
      <c r="A15" s="2"/>
      <c r="B15" s="2"/>
      <c r="C15" s="2"/>
      <c r="D15" s="2"/>
      <c r="E15" s="6"/>
      <c r="F15" s="6"/>
      <c r="G15" s="6"/>
      <c r="H15" s="3"/>
      <c r="I15" s="5"/>
    </row>
    <row r="16" spans="1:13" ht="15" customHeight="1" x14ac:dyDescent="0.25">
      <c r="A16" s="2"/>
      <c r="B16" s="2"/>
      <c r="C16" s="2"/>
      <c r="D16" s="2"/>
      <c r="E16" s="6"/>
      <c r="F16" s="6"/>
      <c r="G16" s="6"/>
      <c r="H16" s="3"/>
      <c r="I16" s="5"/>
    </row>
    <row r="17" spans="1:10" ht="15" customHeight="1" x14ac:dyDescent="0.25">
      <c r="A17" s="2"/>
      <c r="B17" s="2"/>
      <c r="C17" s="2"/>
      <c r="D17" s="2"/>
      <c r="E17" s="6"/>
      <c r="F17" s="6"/>
      <c r="G17" s="6"/>
      <c r="H17" s="3"/>
      <c r="I17" s="5"/>
    </row>
    <row r="18" spans="1:10" ht="15" customHeight="1" x14ac:dyDescent="0.25">
      <c r="A18" s="2"/>
      <c r="B18" s="2"/>
      <c r="C18" s="2"/>
      <c r="D18" s="2"/>
      <c r="E18" s="6"/>
      <c r="F18" s="6"/>
      <c r="G18" s="6"/>
      <c r="H18" s="3"/>
      <c r="I18" s="5"/>
    </row>
    <row r="19" spans="1:10" ht="15" customHeight="1" x14ac:dyDescent="0.25">
      <c r="A19" s="2"/>
      <c r="B19" s="2"/>
      <c r="C19" s="2"/>
      <c r="D19" s="2"/>
      <c r="E19" s="6"/>
      <c r="F19" s="6"/>
      <c r="G19" s="6"/>
      <c r="H19" s="3"/>
      <c r="I19" s="5"/>
    </row>
    <row r="20" spans="1:10" ht="15" customHeight="1" x14ac:dyDescent="0.25">
      <c r="A20" s="2"/>
      <c r="B20" s="2"/>
      <c r="C20" s="2"/>
      <c r="D20" s="2"/>
      <c r="E20" s="6"/>
      <c r="F20" s="6"/>
      <c r="G20" s="6"/>
      <c r="H20" s="3"/>
      <c r="I20" s="5"/>
    </row>
    <row r="21" spans="1:10" ht="15" customHeight="1" x14ac:dyDescent="0.25">
      <c r="A21" s="2"/>
      <c r="B21" s="2"/>
      <c r="C21" s="2"/>
      <c r="D21" s="2"/>
      <c r="E21" s="6"/>
      <c r="F21" s="6"/>
      <c r="G21" s="6"/>
      <c r="H21" s="3"/>
      <c r="I21" s="5"/>
    </row>
    <row r="22" spans="1:10" ht="15" customHeight="1" x14ac:dyDescent="0.25">
      <c r="A22" s="2"/>
      <c r="B22" s="2"/>
      <c r="C22" s="2"/>
      <c r="D22" s="2"/>
      <c r="E22" s="7"/>
      <c r="F22" s="6"/>
      <c r="G22" s="6"/>
      <c r="H22" s="3"/>
      <c r="I22" s="5"/>
    </row>
    <row r="23" spans="1:10" ht="15" customHeight="1" x14ac:dyDescent="0.25">
      <c r="A23" s="2"/>
      <c r="B23" s="5"/>
      <c r="C23" s="5"/>
      <c r="D23" s="2"/>
      <c r="E23" s="6"/>
      <c r="F23" s="6"/>
      <c r="G23" s="6"/>
      <c r="H23" s="3"/>
      <c r="I23" s="5"/>
    </row>
    <row r="24" spans="1:10" ht="15" customHeight="1" x14ac:dyDescent="0.25">
      <c r="A24" s="2"/>
      <c r="B24" s="2"/>
      <c r="C24" s="2"/>
      <c r="D24" s="2"/>
      <c r="E24" s="6"/>
      <c r="F24" s="6"/>
      <c r="G24" s="6"/>
      <c r="H24" s="3"/>
      <c r="I24" s="5"/>
    </row>
    <row r="25" spans="1:10" ht="15" customHeight="1" x14ac:dyDescent="0.25">
      <c r="A25" s="2"/>
      <c r="B25" s="2"/>
      <c r="C25" s="2"/>
      <c r="D25" s="2"/>
      <c r="E25" s="6"/>
      <c r="F25" s="6"/>
      <c r="G25" s="6"/>
      <c r="H25" s="3"/>
      <c r="I25" s="3"/>
      <c r="J25" s="5"/>
    </row>
    <row r="26" spans="1:10" ht="15" customHeight="1" x14ac:dyDescent="0.25">
      <c r="A26" s="2"/>
      <c r="B26" s="2"/>
      <c r="C26" s="2"/>
      <c r="D26" s="2"/>
      <c r="E26" s="6"/>
      <c r="F26" s="6"/>
      <c r="G26" s="6"/>
      <c r="H26" s="4"/>
    </row>
    <row r="27" spans="1:10" ht="15" customHeight="1" x14ac:dyDescent="0.25">
      <c r="A27" s="2"/>
      <c r="B27" s="2"/>
      <c r="C27" s="2"/>
      <c r="D27" s="2"/>
      <c r="E27" s="6"/>
      <c r="F27" s="6"/>
      <c r="G27" s="6"/>
      <c r="H27" s="3"/>
      <c r="I27" s="5"/>
    </row>
    <row r="28" spans="1:10" ht="15" customHeight="1" x14ac:dyDescent="0.25">
      <c r="A28" s="2"/>
      <c r="B28" s="2"/>
      <c r="C28" s="2"/>
      <c r="D28" s="2"/>
      <c r="E28" s="9" t="s">
        <v>10</v>
      </c>
      <c r="F28" s="6">
        <f>SUM(F2:F27)</f>
        <v>16.251580000000001</v>
      </c>
      <c r="G28" s="6"/>
      <c r="H28" s="3"/>
      <c r="I28" s="5"/>
    </row>
    <row r="29" spans="1:10" ht="15" customHeight="1" x14ac:dyDescent="0.25">
      <c r="A29" s="2"/>
      <c r="B29" s="2"/>
      <c r="C29" s="2"/>
      <c r="D29" s="2"/>
      <c r="E29" s="6"/>
      <c r="F29" s="6"/>
      <c r="G29" s="6"/>
      <c r="H29" s="3"/>
      <c r="I29" s="5"/>
    </row>
    <row r="30" spans="1:10" ht="15" customHeight="1" x14ac:dyDescent="0.25">
      <c r="A30" s="2"/>
      <c r="B30" s="2"/>
      <c r="C30" s="2"/>
      <c r="D30" s="2"/>
      <c r="E30" s="2"/>
      <c r="F30" s="6"/>
      <c r="G30" s="6"/>
      <c r="H30" s="3"/>
    </row>
    <row r="31" spans="1:10" x14ac:dyDescent="0.25">
      <c r="A31" s="2"/>
      <c r="B31" s="2"/>
      <c r="C31" s="2"/>
      <c r="D31" s="2"/>
      <c r="E31" s="2"/>
      <c r="F31" s="2"/>
      <c r="G31" s="2"/>
      <c r="H31" s="3"/>
    </row>
    <row r="32" spans="1:10" x14ac:dyDescent="0.25">
      <c r="A32" s="2"/>
      <c r="B32" s="2"/>
      <c r="C32" s="2"/>
      <c r="D32" s="2"/>
      <c r="E32" s="2"/>
      <c r="F32" s="2"/>
      <c r="G32" s="2"/>
      <c r="H32" s="3"/>
    </row>
    <row r="33" spans="1:8" x14ac:dyDescent="0.25">
      <c r="A33" s="2"/>
      <c r="D33" s="2"/>
      <c r="E33" s="2"/>
      <c r="F33" s="2"/>
      <c r="G33" s="2"/>
      <c r="H33" s="1"/>
    </row>
  </sheetData>
  <hyperlinks>
    <hyperlink ref="H4" r:id="rId1" xr:uid="{A2E1C8C8-6A04-46E2-AC51-28CA639AB5C3}"/>
    <hyperlink ref="H5" r:id="rId2" xr:uid="{3552A92A-EFA4-4FB0-92CC-E82180001E88}"/>
    <hyperlink ref="I6" r:id="rId3" xr:uid="{FA8CF8E9-26AB-43B4-820A-5FF0ECE212F3}"/>
    <hyperlink ref="H6" r:id="rId4" xr:uid="{B0CFF966-AF61-4A69-82E7-3D5DCE98FD10}"/>
    <hyperlink ref="H2" r:id="rId5" xr:uid="{4C1B4732-A388-4A05-ACD7-7F60A4FA52BC}"/>
    <hyperlink ref="I7" r:id="rId6" display="https://www.homedepot.com/p/Gorilla-8-oz-Original-Glue-50008A/100204163" xr:uid="{3687080D-7764-4AE9-84DA-09203FC30570}"/>
    <hyperlink ref="H7" r:id="rId7" xr:uid="{2DA22F02-0B2C-466B-8EB5-68D61876C27A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2026-05-29T19:33:22Z</dcterms:modified>
</cp:coreProperties>
</file>